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ea99f68d72f3fe/Desktop/Spring26/ORIE 4820/ORIE4820_Project/"/>
    </mc:Choice>
  </mc:AlternateContent>
  <xr:revisionPtr revIDLastSave="206" documentId="8_{E563CD84-6765-4AEF-A4FC-EB9B9D0D3070}" xr6:coauthVersionLast="47" xr6:coauthVersionMax="47" xr10:uidLastSave="{7057992B-B770-4A4A-B58C-79454E4C6485}"/>
  <bookViews>
    <workbookView xWindow="-110" yWindow="-110" windowWidth="24220" windowHeight="15500" xr2:uid="{BE457284-2CE3-4662-BDB3-A88DAFB26B86}"/>
  </bookViews>
  <sheets>
    <sheet name="excel_solver_model" sheetId="1" r:id="rId1"/>
  </sheets>
  <definedNames>
    <definedName name="solver_adj" localSheetId="0" hidden="1">excel_solver_model!$J$2:$K$63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excel_solver_model!$J$2:$J$63</definedName>
    <definedName name="solver_lhs2" localSheetId="0" hidden="1">excel_solver_model!$J$2:$J$63</definedName>
    <definedName name="solver_lhs3" localSheetId="0" hidden="1">excel_solver_model!$N$14</definedName>
    <definedName name="solver_lhs4" localSheetId="0" hidden="1">excel_solver_model!$N$18</definedName>
    <definedName name="solver_lhs5" localSheetId="0" hidden="1">excel_solver_model!$O$9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excel_solver_model!$O$2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hs1" localSheetId="0" hidden="1">excel_solver_model!$L$2:$L$63</definedName>
    <definedName name="solver_rhs2" localSheetId="0" hidden="1">excel_solver_model!$M$2:$M$63</definedName>
    <definedName name="solver_rhs3" localSheetId="0" hidden="1">excel_solver_model!$Q$6</definedName>
    <definedName name="solver_rhs4" localSheetId="0" hidden="1">excel_solver_model!$Q$8</definedName>
    <definedName name="solver_rhs5" localSheetId="0" hidden="1">excel_solver_model!$Q$9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0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2" i="1"/>
  <c r="O2" i="1"/>
  <c r="N18" i="1"/>
  <c r="N17" i="1"/>
  <c r="N14" i="1"/>
</calcChain>
</file>

<file path=xl/sharedStrings.xml><?xml version="1.0" encoding="utf-8"?>
<sst xmlns="http://schemas.openxmlformats.org/spreadsheetml/2006/main" count="98" uniqueCount="89">
  <si>
    <t>county_name</t>
  </si>
  <si>
    <t>alpha</t>
  </si>
  <si>
    <t>NUI</t>
  </si>
  <si>
    <t>capacity</t>
  </si>
  <si>
    <t>underserved</t>
  </si>
  <si>
    <t>ub_x</t>
  </si>
  <si>
    <t>opt_x</t>
  </si>
  <si>
    <t>opt_y</t>
  </si>
  <si>
    <t>opt_newly_insured</t>
  </si>
  <si>
    <t>solver_x</t>
  </si>
  <si>
    <t>solver_y</t>
  </si>
  <si>
    <t>ub_x*solver_y</t>
  </si>
  <si>
    <t>x_min*solver_y</t>
  </si>
  <si>
    <t>Objective</t>
  </si>
  <si>
    <t>Queens County</t>
  </si>
  <si>
    <t>Ulster County</t>
  </si>
  <si>
    <t>Westchester County</t>
  </si>
  <si>
    <t>Rockland County</t>
  </si>
  <si>
    <t>Parameters</t>
  </si>
  <si>
    <t>Suffolk County</t>
  </si>
  <si>
    <t>B</t>
  </si>
  <si>
    <t>Nassau County</t>
  </si>
  <si>
    <t>x_min</t>
  </si>
  <si>
    <t>Orange County</t>
  </si>
  <si>
    <t>min_underserved</t>
  </si>
  <si>
    <t>Dutchess County</t>
  </si>
  <si>
    <t>K</t>
  </si>
  <si>
    <t>Sullivan County</t>
  </si>
  <si>
    <t>M</t>
  </si>
  <si>
    <t>Wayne County</t>
  </si>
  <si>
    <t>Yates County</t>
  </si>
  <si>
    <t>Putnam County</t>
  </si>
  <si>
    <t>Constraints</t>
  </si>
  <si>
    <t>New York County</t>
  </si>
  <si>
    <t>sum(solver_x)</t>
  </si>
  <si>
    <t>&lt;=</t>
  </si>
  <si>
    <t>Seneca County</t>
  </si>
  <si>
    <t xml:space="preserve">&lt;= </t>
  </si>
  <si>
    <t>Hamilton County</t>
  </si>
  <si>
    <t>&gt;=</t>
  </si>
  <si>
    <t>Orleans County</t>
  </si>
  <si>
    <t>sum(solver_y)</t>
  </si>
  <si>
    <t>Bronx County</t>
  </si>
  <si>
    <t>SUMPRODUCT(underserved, y_i)</t>
  </si>
  <si>
    <t>Columbia County</t>
  </si>
  <si>
    <t>Essex County</t>
  </si>
  <si>
    <t>Livingston County</t>
  </si>
  <si>
    <t>Ontario County</t>
  </si>
  <si>
    <t>Richmond County</t>
  </si>
  <si>
    <t>Kings County</t>
  </si>
  <si>
    <t>Schoharie County</t>
  </si>
  <si>
    <t>Rensselaer County</t>
  </si>
  <si>
    <t>Montgomery County</t>
  </si>
  <si>
    <t>Otsego County</t>
  </si>
  <si>
    <t>Saratoga County</t>
  </si>
  <si>
    <t>Delaware County</t>
  </si>
  <si>
    <t>Tompkins County</t>
  </si>
  <si>
    <t>Albany County</t>
  </si>
  <si>
    <t>Broome County</t>
  </si>
  <si>
    <t>Oswego County</t>
  </si>
  <si>
    <t>Lewis County</t>
  </si>
  <si>
    <t>Chautauqua County</t>
  </si>
  <si>
    <t>Schuyler County</t>
  </si>
  <si>
    <t>Steuben County</t>
  </si>
  <si>
    <t>Chemung County</t>
  </si>
  <si>
    <t>Jefferson County</t>
  </si>
  <si>
    <t>Allegany County</t>
  </si>
  <si>
    <t>Madison County</t>
  </si>
  <si>
    <t>Wyoming County</t>
  </si>
  <si>
    <t>Cayuga County</t>
  </si>
  <si>
    <t>Fulton County</t>
  </si>
  <si>
    <t>Oneida County</t>
  </si>
  <si>
    <t>Warren County</t>
  </si>
  <si>
    <t>Greene County</t>
  </si>
  <si>
    <t>Monroe County</t>
  </si>
  <si>
    <t>Chenango County</t>
  </si>
  <si>
    <t>Cattaraugus County</t>
  </si>
  <si>
    <t>Onondaga County</t>
  </si>
  <si>
    <t>Clinton County</t>
  </si>
  <si>
    <t>Cortland County</t>
  </si>
  <si>
    <t>St. Lawrence County</t>
  </si>
  <si>
    <t>Schenectady County</t>
  </si>
  <si>
    <t>Herkimer County</t>
  </si>
  <si>
    <t>Washington County</t>
  </si>
  <si>
    <t>Genesee County</t>
  </si>
  <si>
    <t>Franklin County</t>
  </si>
  <si>
    <t>Niagara County</t>
  </si>
  <si>
    <t>Tioga County</t>
  </si>
  <si>
    <t>Erie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</si>
</sst>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3C55-A8E7-444F-B921-DB352002224F}">
  <dimension ref="A1:R65"/>
  <sheetViews>
    <sheetView tabSelected="1" workbookViewId="0">
      <selection activeCell="P22" sqref="P22"/>
    </sheetView>
  </sheetViews>
  <sheetFormatPr defaultRowHeight="14.5" x14ac:dyDescent="0.35"/>
  <cols>
    <col min="12" max="12" width="13.45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8" x14ac:dyDescent="0.35">
      <c r="A2" t="s">
        <v>15</v>
      </c>
      <c r="B2">
        <v>3.27999999999999</v>
      </c>
      <c r="C2">
        <v>2909</v>
      </c>
      <c r="D2">
        <v>177.37804878048701</v>
      </c>
      <c r="E2">
        <v>1</v>
      </c>
      <c r="F2">
        <v>100</v>
      </c>
      <c r="G2">
        <v>100</v>
      </c>
      <c r="H2">
        <v>1</v>
      </c>
      <c r="I2">
        <v>328</v>
      </c>
      <c r="J2">
        <v>0</v>
      </c>
      <c r="K2">
        <v>0</v>
      </c>
      <c r="L2">
        <f>F2*K2</f>
        <v>0</v>
      </c>
      <c r="M2">
        <f>$Q$7*K2</f>
        <v>0</v>
      </c>
      <c r="O2">
        <f>SUMPRODUCT(B2:B63,J2:J63)</f>
        <v>0</v>
      </c>
    </row>
    <row r="3" spans="1:18" x14ac:dyDescent="0.35">
      <c r="A3" t="s">
        <v>14</v>
      </c>
      <c r="B3">
        <v>3.26</v>
      </c>
      <c r="C3">
        <v>35758</v>
      </c>
      <c r="D3">
        <v>2193.7423312883402</v>
      </c>
      <c r="E3">
        <v>1</v>
      </c>
      <c r="F3">
        <v>100</v>
      </c>
      <c r="G3">
        <v>100</v>
      </c>
      <c r="H3">
        <v>1</v>
      </c>
      <c r="I3">
        <v>326</v>
      </c>
      <c r="J3">
        <v>0</v>
      </c>
      <c r="K3">
        <v>0</v>
      </c>
      <c r="L3">
        <f t="shared" ref="L3:L63" si="0">F3*K3</f>
        <v>0</v>
      </c>
      <c r="M3">
        <f t="shared" ref="M3:M63" si="1">$Q$7*K3</f>
        <v>0</v>
      </c>
    </row>
    <row r="4" spans="1:18" x14ac:dyDescent="0.35">
      <c r="A4" t="s">
        <v>17</v>
      </c>
      <c r="B4">
        <v>3.06</v>
      </c>
      <c r="C4">
        <v>4336</v>
      </c>
      <c r="D4">
        <v>283.39869281045702</v>
      </c>
      <c r="E4">
        <v>1</v>
      </c>
      <c r="F4">
        <v>100</v>
      </c>
      <c r="G4">
        <v>100</v>
      </c>
      <c r="H4">
        <v>1</v>
      </c>
      <c r="I4">
        <v>306</v>
      </c>
      <c r="J4">
        <v>0</v>
      </c>
      <c r="K4">
        <v>0</v>
      </c>
      <c r="L4">
        <f t="shared" si="0"/>
        <v>0</v>
      </c>
      <c r="M4">
        <f t="shared" si="1"/>
        <v>0</v>
      </c>
    </row>
    <row r="5" spans="1:18" x14ac:dyDescent="0.35">
      <c r="A5" t="s">
        <v>16</v>
      </c>
      <c r="B5">
        <v>2.94</v>
      </c>
      <c r="C5">
        <v>8672</v>
      </c>
      <c r="D5">
        <v>589.93197278911498</v>
      </c>
      <c r="E5">
        <v>1</v>
      </c>
      <c r="F5">
        <v>100</v>
      </c>
      <c r="G5">
        <v>100</v>
      </c>
      <c r="H5">
        <v>1</v>
      </c>
      <c r="I5">
        <v>294</v>
      </c>
      <c r="J5">
        <v>0</v>
      </c>
      <c r="K5">
        <v>0</v>
      </c>
      <c r="L5">
        <f t="shared" si="0"/>
        <v>0</v>
      </c>
      <c r="M5">
        <f t="shared" si="1"/>
        <v>0</v>
      </c>
      <c r="O5" t="s">
        <v>18</v>
      </c>
    </row>
    <row r="6" spans="1:18" x14ac:dyDescent="0.35">
      <c r="A6" t="s">
        <v>19</v>
      </c>
      <c r="B6">
        <v>2.88</v>
      </c>
      <c r="C6">
        <v>10764</v>
      </c>
      <c r="D6">
        <v>747.5</v>
      </c>
      <c r="E6">
        <v>1</v>
      </c>
      <c r="F6">
        <v>100</v>
      </c>
      <c r="G6">
        <v>100</v>
      </c>
      <c r="H6">
        <v>1</v>
      </c>
      <c r="I6">
        <v>288</v>
      </c>
      <c r="J6">
        <v>0</v>
      </c>
      <c r="K6">
        <v>0</v>
      </c>
      <c r="L6">
        <f t="shared" si="0"/>
        <v>0</v>
      </c>
      <c r="M6">
        <f t="shared" si="1"/>
        <v>0</v>
      </c>
      <c r="O6" t="s">
        <v>20</v>
      </c>
      <c r="Q6">
        <v>1000</v>
      </c>
    </row>
    <row r="7" spans="1:18" x14ac:dyDescent="0.35">
      <c r="A7" t="s">
        <v>23</v>
      </c>
      <c r="B7">
        <v>2.72</v>
      </c>
      <c r="C7">
        <v>4219</v>
      </c>
      <c r="D7">
        <v>310.22058823529397</v>
      </c>
      <c r="E7">
        <v>1</v>
      </c>
      <c r="F7">
        <v>100</v>
      </c>
      <c r="G7">
        <v>100</v>
      </c>
      <c r="H7">
        <v>1</v>
      </c>
      <c r="I7">
        <v>272</v>
      </c>
      <c r="J7">
        <v>0</v>
      </c>
      <c r="K7">
        <v>0</v>
      </c>
      <c r="L7">
        <f t="shared" si="0"/>
        <v>0</v>
      </c>
      <c r="M7">
        <f t="shared" si="1"/>
        <v>0</v>
      </c>
      <c r="O7" t="s">
        <v>22</v>
      </c>
      <c r="Q7">
        <v>20</v>
      </c>
    </row>
    <row r="8" spans="1:18" x14ac:dyDescent="0.35">
      <c r="A8" t="s">
        <v>21</v>
      </c>
      <c r="B8">
        <v>2.68</v>
      </c>
      <c r="C8">
        <v>7620</v>
      </c>
      <c r="D8">
        <v>568.65671641791005</v>
      </c>
      <c r="E8">
        <v>1</v>
      </c>
      <c r="F8">
        <v>100</v>
      </c>
      <c r="G8">
        <v>100</v>
      </c>
      <c r="H8">
        <v>1</v>
      </c>
      <c r="I8">
        <v>268</v>
      </c>
      <c r="J8">
        <v>0</v>
      </c>
      <c r="K8">
        <v>0</v>
      </c>
      <c r="L8">
        <f t="shared" si="0"/>
        <v>0</v>
      </c>
      <c r="M8">
        <f t="shared" si="1"/>
        <v>0</v>
      </c>
      <c r="O8" t="s">
        <v>24</v>
      </c>
      <c r="Q8">
        <v>3</v>
      </c>
    </row>
    <row r="9" spans="1:18" x14ac:dyDescent="0.35">
      <c r="A9" t="s">
        <v>25</v>
      </c>
      <c r="B9">
        <v>2.56</v>
      </c>
      <c r="C9">
        <v>2395</v>
      </c>
      <c r="D9">
        <v>187.109375</v>
      </c>
      <c r="E9">
        <v>1</v>
      </c>
      <c r="F9">
        <v>100</v>
      </c>
      <c r="G9">
        <v>100</v>
      </c>
      <c r="H9">
        <v>1</v>
      </c>
      <c r="I9">
        <v>256</v>
      </c>
      <c r="J9">
        <v>0</v>
      </c>
      <c r="K9">
        <v>0</v>
      </c>
      <c r="L9">
        <f t="shared" si="0"/>
        <v>0</v>
      </c>
      <c r="M9">
        <f t="shared" si="1"/>
        <v>0</v>
      </c>
      <c r="O9" t="s">
        <v>26</v>
      </c>
      <c r="Q9">
        <v>10</v>
      </c>
    </row>
    <row r="10" spans="1:18" x14ac:dyDescent="0.35">
      <c r="A10" t="s">
        <v>48</v>
      </c>
      <c r="B10">
        <v>2.2599999999999998</v>
      </c>
      <c r="C10">
        <v>4569</v>
      </c>
      <c r="D10">
        <v>404.33628318583999</v>
      </c>
      <c r="E10">
        <v>1</v>
      </c>
      <c r="F10">
        <v>100</v>
      </c>
      <c r="G10">
        <v>100</v>
      </c>
      <c r="H10">
        <v>1</v>
      </c>
      <c r="I10">
        <v>226</v>
      </c>
      <c r="J10">
        <v>0</v>
      </c>
      <c r="K10">
        <v>0</v>
      </c>
      <c r="L10">
        <f t="shared" si="0"/>
        <v>0</v>
      </c>
      <c r="M10">
        <f t="shared" si="1"/>
        <v>0</v>
      </c>
      <c r="O10" t="s">
        <v>28</v>
      </c>
      <c r="Q10">
        <v>100</v>
      </c>
    </row>
    <row r="11" spans="1:18" x14ac:dyDescent="0.35">
      <c r="A11" t="s">
        <v>42</v>
      </c>
      <c r="B11">
        <v>2.2000000000000002</v>
      </c>
      <c r="C11">
        <v>27311</v>
      </c>
      <c r="D11">
        <v>2482.8181818181802</v>
      </c>
      <c r="E11">
        <v>1</v>
      </c>
      <c r="F11">
        <v>100</v>
      </c>
      <c r="G11">
        <v>100</v>
      </c>
      <c r="H11">
        <v>1</v>
      </c>
      <c r="I11">
        <v>220</v>
      </c>
      <c r="J11">
        <v>0</v>
      </c>
      <c r="K11">
        <v>0</v>
      </c>
      <c r="L11">
        <f t="shared" si="0"/>
        <v>0</v>
      </c>
      <c r="M11">
        <f t="shared" si="1"/>
        <v>0</v>
      </c>
    </row>
    <row r="12" spans="1:18" x14ac:dyDescent="0.35">
      <c r="A12" t="s">
        <v>30</v>
      </c>
      <c r="B12">
        <v>3.42</v>
      </c>
      <c r="C12">
        <v>342</v>
      </c>
      <c r="D12">
        <v>20</v>
      </c>
      <c r="E12">
        <v>1</v>
      </c>
      <c r="F12">
        <v>20</v>
      </c>
      <c r="G12">
        <v>0</v>
      </c>
      <c r="H12">
        <v>0</v>
      </c>
      <c r="I12">
        <v>0</v>
      </c>
      <c r="J12">
        <v>0</v>
      </c>
      <c r="K12">
        <v>0</v>
      </c>
      <c r="L12">
        <f t="shared" si="0"/>
        <v>0</v>
      </c>
      <c r="M12">
        <f t="shared" si="1"/>
        <v>0</v>
      </c>
    </row>
    <row r="13" spans="1:18" x14ac:dyDescent="0.35">
      <c r="A13" t="s">
        <v>31</v>
      </c>
      <c r="B13">
        <v>2.94</v>
      </c>
      <c r="C13">
        <v>658</v>
      </c>
      <c r="D13">
        <v>44.761904761904702</v>
      </c>
      <c r="E13">
        <v>1</v>
      </c>
      <c r="F13">
        <v>44.761904761904702</v>
      </c>
      <c r="G13">
        <v>0</v>
      </c>
      <c r="H13">
        <v>0</v>
      </c>
      <c r="I13">
        <v>0</v>
      </c>
      <c r="J13">
        <v>0</v>
      </c>
      <c r="K13">
        <v>0</v>
      </c>
      <c r="L13">
        <f t="shared" si="0"/>
        <v>0</v>
      </c>
      <c r="M13">
        <f t="shared" si="1"/>
        <v>0</v>
      </c>
      <c r="O13" t="s">
        <v>32</v>
      </c>
    </row>
    <row r="14" spans="1:18" x14ac:dyDescent="0.35">
      <c r="A14" t="s">
        <v>27</v>
      </c>
      <c r="B14">
        <v>2.5</v>
      </c>
      <c r="C14">
        <v>1033</v>
      </c>
      <c r="D14">
        <v>82.64</v>
      </c>
      <c r="E14">
        <v>1</v>
      </c>
      <c r="F14">
        <v>82.64</v>
      </c>
      <c r="G14">
        <v>0</v>
      </c>
      <c r="H14">
        <v>0</v>
      </c>
      <c r="I14">
        <v>0</v>
      </c>
      <c r="J14">
        <v>0</v>
      </c>
      <c r="K14">
        <v>0</v>
      </c>
      <c r="L14">
        <f t="shared" si="0"/>
        <v>0</v>
      </c>
      <c r="M14">
        <f t="shared" si="1"/>
        <v>0</v>
      </c>
      <c r="N14">
        <f>SUM(J2:J63)</f>
        <v>0</v>
      </c>
      <c r="O14" t="s">
        <v>34</v>
      </c>
      <c r="Q14" t="s">
        <v>35</v>
      </c>
      <c r="R14" t="s">
        <v>20</v>
      </c>
    </row>
    <row r="15" spans="1:18" x14ac:dyDescent="0.35">
      <c r="A15" t="s">
        <v>38</v>
      </c>
      <c r="B15">
        <v>2.34</v>
      </c>
      <c r="C15">
        <v>43</v>
      </c>
      <c r="D15">
        <v>3.6752136752136702</v>
      </c>
      <c r="E15">
        <v>1</v>
      </c>
      <c r="F15">
        <v>3.6752136752136702</v>
      </c>
      <c r="G15">
        <v>0</v>
      </c>
      <c r="H15">
        <v>0</v>
      </c>
      <c r="I15">
        <v>0</v>
      </c>
      <c r="J15">
        <v>0</v>
      </c>
      <c r="K15">
        <v>0</v>
      </c>
      <c r="L15">
        <f t="shared" si="0"/>
        <v>0</v>
      </c>
      <c r="M15">
        <f t="shared" si="1"/>
        <v>0</v>
      </c>
      <c r="O15" t="s">
        <v>9</v>
      </c>
      <c r="Q15" t="s">
        <v>37</v>
      </c>
      <c r="R15" t="s">
        <v>11</v>
      </c>
    </row>
    <row r="16" spans="1:18" x14ac:dyDescent="0.35">
      <c r="A16" t="s">
        <v>36</v>
      </c>
      <c r="B16">
        <v>2.3199999999999998</v>
      </c>
      <c r="C16">
        <v>364</v>
      </c>
      <c r="D16">
        <v>31.379310344827498</v>
      </c>
      <c r="E16">
        <v>1</v>
      </c>
      <c r="F16">
        <v>31.379310344827498</v>
      </c>
      <c r="G16">
        <v>0</v>
      </c>
      <c r="H16">
        <v>0</v>
      </c>
      <c r="I16">
        <v>0</v>
      </c>
      <c r="J16">
        <v>0</v>
      </c>
      <c r="K16">
        <v>0</v>
      </c>
      <c r="L16">
        <f t="shared" si="0"/>
        <v>0</v>
      </c>
      <c r="M16">
        <f t="shared" si="1"/>
        <v>0</v>
      </c>
      <c r="O16" t="s">
        <v>9</v>
      </c>
      <c r="Q16" t="s">
        <v>39</v>
      </c>
      <c r="R16" t="s">
        <v>12</v>
      </c>
    </row>
    <row r="17" spans="1:18" x14ac:dyDescent="0.35">
      <c r="A17" t="s">
        <v>29</v>
      </c>
      <c r="B17">
        <v>2.3199999999999998</v>
      </c>
      <c r="C17">
        <v>867</v>
      </c>
      <c r="D17">
        <v>74.741379310344797</v>
      </c>
      <c r="E17">
        <v>1</v>
      </c>
      <c r="F17">
        <v>74.741379310344797</v>
      </c>
      <c r="G17">
        <v>0</v>
      </c>
      <c r="H17">
        <v>0</v>
      </c>
      <c r="I17">
        <v>0</v>
      </c>
      <c r="J17">
        <v>0</v>
      </c>
      <c r="K17">
        <v>0</v>
      </c>
      <c r="L17">
        <f t="shared" si="0"/>
        <v>0</v>
      </c>
      <c r="M17">
        <f t="shared" si="1"/>
        <v>0</v>
      </c>
      <c r="N17">
        <f>SUM(K2:K63)</f>
        <v>0</v>
      </c>
      <c r="O17" t="s">
        <v>41</v>
      </c>
      <c r="Q17" t="s">
        <v>35</v>
      </c>
      <c r="R17" t="s">
        <v>26</v>
      </c>
    </row>
    <row r="18" spans="1:18" x14ac:dyDescent="0.35">
      <c r="A18" t="s">
        <v>46</v>
      </c>
      <c r="B18">
        <v>2.2999999999999998</v>
      </c>
      <c r="C18">
        <v>565</v>
      </c>
      <c r="D18">
        <v>49.130434782608603</v>
      </c>
      <c r="E18">
        <v>1</v>
      </c>
      <c r="F18">
        <v>49.130434782608603</v>
      </c>
      <c r="G18">
        <v>0</v>
      </c>
      <c r="H18">
        <v>0</v>
      </c>
      <c r="I18">
        <v>0</v>
      </c>
      <c r="J18">
        <v>0</v>
      </c>
      <c r="K18">
        <v>0</v>
      </c>
      <c r="L18">
        <f t="shared" si="0"/>
        <v>0</v>
      </c>
      <c r="M18">
        <f t="shared" si="1"/>
        <v>0</v>
      </c>
      <c r="N18">
        <f>SUMPRODUCT(E2:E63,K2:K63)</f>
        <v>0</v>
      </c>
      <c r="O18" t="s">
        <v>43</v>
      </c>
      <c r="Q18" t="s">
        <v>39</v>
      </c>
      <c r="R18" t="s">
        <v>24</v>
      </c>
    </row>
    <row r="19" spans="1:18" x14ac:dyDescent="0.35">
      <c r="A19" t="s">
        <v>40</v>
      </c>
      <c r="B19">
        <v>2.2799999999999998</v>
      </c>
      <c r="C19">
        <v>430</v>
      </c>
      <c r="D19">
        <v>37.719298245613999</v>
      </c>
      <c r="E19">
        <v>1</v>
      </c>
      <c r="F19">
        <v>37.719298245613999</v>
      </c>
      <c r="G19">
        <v>0</v>
      </c>
      <c r="H19">
        <v>0</v>
      </c>
      <c r="I19">
        <v>0</v>
      </c>
      <c r="J19">
        <v>0</v>
      </c>
      <c r="K19">
        <v>0</v>
      </c>
      <c r="L19">
        <f t="shared" si="0"/>
        <v>0</v>
      </c>
      <c r="M19">
        <f t="shared" si="1"/>
        <v>0</v>
      </c>
    </row>
    <row r="20" spans="1:18" x14ac:dyDescent="0.35">
      <c r="A20" t="s">
        <v>44</v>
      </c>
      <c r="B20">
        <v>2.23999999999999</v>
      </c>
      <c r="C20">
        <v>548</v>
      </c>
      <c r="D20">
        <v>48.928571428571402</v>
      </c>
      <c r="E20">
        <v>1</v>
      </c>
      <c r="F20">
        <v>48.928571428571402</v>
      </c>
      <c r="G20">
        <v>0</v>
      </c>
      <c r="H20">
        <v>0</v>
      </c>
      <c r="I20">
        <v>0</v>
      </c>
      <c r="J20">
        <v>0</v>
      </c>
      <c r="K20">
        <v>0</v>
      </c>
      <c r="L20">
        <f t="shared" si="0"/>
        <v>0</v>
      </c>
      <c r="M20">
        <f t="shared" si="1"/>
        <v>0</v>
      </c>
    </row>
    <row r="21" spans="1:18" x14ac:dyDescent="0.35">
      <c r="A21" t="s">
        <v>45</v>
      </c>
      <c r="B21">
        <v>2.2200000000000002</v>
      </c>
      <c r="C21">
        <v>342</v>
      </c>
      <c r="D21">
        <v>30.8108108108108</v>
      </c>
      <c r="E21">
        <v>1</v>
      </c>
      <c r="F21">
        <v>30.8108108108108</v>
      </c>
      <c r="G21">
        <v>0</v>
      </c>
      <c r="H21">
        <v>0</v>
      </c>
      <c r="I21">
        <v>0</v>
      </c>
      <c r="J21">
        <v>0</v>
      </c>
      <c r="K21">
        <v>0</v>
      </c>
      <c r="L21">
        <f t="shared" si="0"/>
        <v>0</v>
      </c>
      <c r="M21">
        <f t="shared" si="1"/>
        <v>0</v>
      </c>
    </row>
    <row r="22" spans="1:18" x14ac:dyDescent="0.35">
      <c r="A22" t="s">
        <v>33</v>
      </c>
      <c r="B22">
        <v>2.2000000000000002</v>
      </c>
      <c r="C22">
        <v>18726</v>
      </c>
      <c r="D22">
        <v>1702.3636363636299</v>
      </c>
      <c r="E22">
        <v>1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f t="shared" si="0"/>
        <v>0</v>
      </c>
      <c r="M22">
        <f t="shared" si="1"/>
        <v>0</v>
      </c>
    </row>
    <row r="23" spans="1:18" x14ac:dyDescent="0.35">
      <c r="A23" t="s">
        <v>50</v>
      </c>
      <c r="B23">
        <v>2.2000000000000002</v>
      </c>
      <c r="C23">
        <v>274</v>
      </c>
      <c r="D23">
        <v>24.909090909090899</v>
      </c>
      <c r="E23">
        <v>1</v>
      </c>
      <c r="F23">
        <v>24.909090909090899</v>
      </c>
      <c r="G23">
        <v>0</v>
      </c>
      <c r="H23">
        <v>0</v>
      </c>
      <c r="I23">
        <v>0</v>
      </c>
      <c r="J23">
        <v>0</v>
      </c>
      <c r="K23">
        <v>0</v>
      </c>
      <c r="L23">
        <f t="shared" si="0"/>
        <v>0</v>
      </c>
      <c r="M23">
        <f t="shared" si="1"/>
        <v>0</v>
      </c>
    </row>
    <row r="24" spans="1:18" x14ac:dyDescent="0.35">
      <c r="A24" t="s">
        <v>47</v>
      </c>
      <c r="B24">
        <v>2.1800000000000002</v>
      </c>
      <c r="C24">
        <v>845</v>
      </c>
      <c r="D24">
        <v>77.522935779816507</v>
      </c>
      <c r="E24">
        <v>1</v>
      </c>
      <c r="F24">
        <v>77.522935779816507</v>
      </c>
      <c r="G24">
        <v>0</v>
      </c>
      <c r="H24">
        <v>0</v>
      </c>
      <c r="I24">
        <v>0</v>
      </c>
      <c r="J24">
        <v>0</v>
      </c>
      <c r="K24">
        <v>0</v>
      </c>
      <c r="L24">
        <f t="shared" si="0"/>
        <v>0</v>
      </c>
      <c r="M24">
        <f t="shared" si="1"/>
        <v>0</v>
      </c>
    </row>
    <row r="25" spans="1:18" x14ac:dyDescent="0.35">
      <c r="A25" t="s">
        <v>49</v>
      </c>
      <c r="B25">
        <v>2.16</v>
      </c>
      <c r="C25">
        <v>34515</v>
      </c>
      <c r="D25">
        <v>3195.8333333333298</v>
      </c>
      <c r="E25">
        <v>1</v>
      </c>
      <c r="F25">
        <v>100</v>
      </c>
      <c r="G25">
        <v>0</v>
      </c>
      <c r="H25">
        <v>0</v>
      </c>
      <c r="I25">
        <v>0</v>
      </c>
      <c r="J25">
        <v>0</v>
      </c>
      <c r="K25">
        <v>0</v>
      </c>
      <c r="L25">
        <f t="shared" si="0"/>
        <v>0</v>
      </c>
      <c r="M25">
        <f t="shared" si="1"/>
        <v>0</v>
      </c>
    </row>
    <row r="26" spans="1:18" x14ac:dyDescent="0.35">
      <c r="A26" t="s">
        <v>53</v>
      </c>
      <c r="B26">
        <v>2.14</v>
      </c>
      <c r="C26">
        <v>539</v>
      </c>
      <c r="D26">
        <v>50.3738317757009</v>
      </c>
      <c r="E26">
        <v>1</v>
      </c>
      <c r="F26">
        <v>50.3738317757009</v>
      </c>
      <c r="G26">
        <v>0</v>
      </c>
      <c r="H26">
        <v>0</v>
      </c>
      <c r="I26">
        <v>0</v>
      </c>
      <c r="J26">
        <v>0</v>
      </c>
      <c r="K26">
        <v>0</v>
      </c>
      <c r="L26">
        <f t="shared" si="0"/>
        <v>0</v>
      </c>
      <c r="M26">
        <f t="shared" si="1"/>
        <v>0</v>
      </c>
    </row>
    <row r="27" spans="1:18" x14ac:dyDescent="0.35">
      <c r="A27" t="s">
        <v>51</v>
      </c>
      <c r="B27">
        <v>2.12</v>
      </c>
      <c r="C27">
        <v>1356</v>
      </c>
      <c r="D27">
        <v>127.924528301886</v>
      </c>
      <c r="E27">
        <v>1</v>
      </c>
      <c r="F27">
        <v>100</v>
      </c>
      <c r="G27">
        <v>0</v>
      </c>
      <c r="H27">
        <v>0</v>
      </c>
      <c r="I27">
        <v>0</v>
      </c>
      <c r="J27">
        <v>0</v>
      </c>
      <c r="K27">
        <v>0</v>
      </c>
      <c r="L27">
        <f t="shared" si="0"/>
        <v>0</v>
      </c>
      <c r="M27">
        <f t="shared" si="1"/>
        <v>0</v>
      </c>
    </row>
    <row r="28" spans="1:18" x14ac:dyDescent="0.35">
      <c r="A28" t="s">
        <v>56</v>
      </c>
      <c r="B28">
        <v>2.12</v>
      </c>
      <c r="C28">
        <v>1105</v>
      </c>
      <c r="D28">
        <v>104.245283018867</v>
      </c>
      <c r="E28">
        <v>1</v>
      </c>
      <c r="F28">
        <v>100</v>
      </c>
      <c r="G28">
        <v>0</v>
      </c>
      <c r="H28">
        <v>0</v>
      </c>
      <c r="I28">
        <v>0</v>
      </c>
      <c r="J28">
        <v>0</v>
      </c>
      <c r="K28">
        <v>0</v>
      </c>
      <c r="L28">
        <f t="shared" si="0"/>
        <v>0</v>
      </c>
      <c r="M28">
        <f t="shared" si="1"/>
        <v>0</v>
      </c>
    </row>
    <row r="29" spans="1:18" x14ac:dyDescent="0.35">
      <c r="A29" t="s">
        <v>52</v>
      </c>
      <c r="B29">
        <v>2.1</v>
      </c>
      <c r="C29">
        <v>564</v>
      </c>
      <c r="D29">
        <v>53.714285714285701</v>
      </c>
      <c r="E29">
        <v>1</v>
      </c>
      <c r="F29">
        <v>53.714285714285701</v>
      </c>
      <c r="G29">
        <v>0</v>
      </c>
      <c r="H29">
        <v>0</v>
      </c>
      <c r="I29">
        <v>0</v>
      </c>
      <c r="J29">
        <v>0</v>
      </c>
      <c r="K29">
        <v>0</v>
      </c>
      <c r="L29">
        <f t="shared" si="0"/>
        <v>0</v>
      </c>
      <c r="M29">
        <f t="shared" si="1"/>
        <v>0</v>
      </c>
    </row>
    <row r="30" spans="1:18" x14ac:dyDescent="0.35">
      <c r="A30" t="s">
        <v>55</v>
      </c>
      <c r="B30">
        <v>2.06</v>
      </c>
      <c r="C30">
        <v>480</v>
      </c>
      <c r="D30">
        <v>46.601941747572802</v>
      </c>
      <c r="E30">
        <v>1</v>
      </c>
      <c r="F30">
        <v>46.601941747572802</v>
      </c>
      <c r="G30">
        <v>0</v>
      </c>
      <c r="H30">
        <v>0</v>
      </c>
      <c r="I30">
        <v>0</v>
      </c>
      <c r="J30">
        <v>0</v>
      </c>
      <c r="K30">
        <v>0</v>
      </c>
      <c r="L30">
        <f t="shared" si="0"/>
        <v>0</v>
      </c>
      <c r="M30">
        <f t="shared" si="1"/>
        <v>0</v>
      </c>
    </row>
    <row r="31" spans="1:18" x14ac:dyDescent="0.35">
      <c r="A31" t="s">
        <v>58</v>
      </c>
      <c r="B31">
        <v>2.04</v>
      </c>
      <c r="C31">
        <v>2282</v>
      </c>
      <c r="D31">
        <v>223.725490196078</v>
      </c>
      <c r="E31">
        <v>1</v>
      </c>
      <c r="F31">
        <v>100</v>
      </c>
      <c r="G31">
        <v>0</v>
      </c>
      <c r="H31">
        <v>0</v>
      </c>
      <c r="I31">
        <v>0</v>
      </c>
      <c r="J31">
        <v>0</v>
      </c>
      <c r="K31">
        <v>0</v>
      </c>
      <c r="L31">
        <f t="shared" si="0"/>
        <v>0</v>
      </c>
      <c r="M31">
        <f t="shared" si="1"/>
        <v>0</v>
      </c>
    </row>
    <row r="32" spans="1:18" x14ac:dyDescent="0.35">
      <c r="A32" t="s">
        <v>54</v>
      </c>
      <c r="B32">
        <v>2.04</v>
      </c>
      <c r="C32">
        <v>1282</v>
      </c>
      <c r="D32">
        <v>125.686274509803</v>
      </c>
      <c r="E32">
        <v>1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f t="shared" si="0"/>
        <v>0</v>
      </c>
      <c r="M32">
        <f t="shared" si="1"/>
        <v>0</v>
      </c>
    </row>
    <row r="33" spans="1:13" x14ac:dyDescent="0.35">
      <c r="A33" t="s">
        <v>57</v>
      </c>
      <c r="B33">
        <v>2.02</v>
      </c>
      <c r="C33">
        <v>2682</v>
      </c>
      <c r="D33">
        <v>265.544554455445</v>
      </c>
      <c r="E33">
        <v>0</v>
      </c>
      <c r="F33">
        <v>100</v>
      </c>
      <c r="G33">
        <v>0</v>
      </c>
      <c r="H33">
        <v>0</v>
      </c>
      <c r="I33">
        <v>0</v>
      </c>
      <c r="J33">
        <v>0</v>
      </c>
      <c r="K33">
        <v>0</v>
      </c>
      <c r="L33">
        <f t="shared" si="0"/>
        <v>0</v>
      </c>
      <c r="M33">
        <f t="shared" si="1"/>
        <v>0</v>
      </c>
    </row>
    <row r="34" spans="1:13" x14ac:dyDescent="0.35">
      <c r="A34" t="s">
        <v>60</v>
      </c>
      <c r="B34">
        <v>2.02</v>
      </c>
      <c r="C34">
        <v>250</v>
      </c>
      <c r="D34">
        <v>24.7524752475247</v>
      </c>
      <c r="E34">
        <v>0</v>
      </c>
      <c r="F34">
        <v>24.7524752475247</v>
      </c>
      <c r="G34">
        <v>0</v>
      </c>
      <c r="H34">
        <v>0</v>
      </c>
      <c r="I34">
        <v>0</v>
      </c>
      <c r="J34">
        <v>0</v>
      </c>
      <c r="K34">
        <v>0</v>
      </c>
      <c r="L34">
        <f t="shared" si="0"/>
        <v>0</v>
      </c>
      <c r="M34">
        <f t="shared" si="1"/>
        <v>0</v>
      </c>
    </row>
    <row r="35" spans="1:13" x14ac:dyDescent="0.35">
      <c r="A35" t="s">
        <v>59</v>
      </c>
      <c r="B35">
        <v>1.98</v>
      </c>
      <c r="C35">
        <v>1192</v>
      </c>
      <c r="D35">
        <v>120.40404040404</v>
      </c>
      <c r="E35">
        <v>0</v>
      </c>
      <c r="F35">
        <v>100</v>
      </c>
      <c r="G35">
        <v>0</v>
      </c>
      <c r="H35">
        <v>0</v>
      </c>
      <c r="I35">
        <v>0</v>
      </c>
      <c r="J35">
        <v>0</v>
      </c>
      <c r="K35">
        <v>0</v>
      </c>
      <c r="L35">
        <f t="shared" si="0"/>
        <v>0</v>
      </c>
      <c r="M35">
        <f t="shared" si="1"/>
        <v>0</v>
      </c>
    </row>
    <row r="36" spans="1:13" x14ac:dyDescent="0.35">
      <c r="A36" t="s">
        <v>62</v>
      </c>
      <c r="B36">
        <v>1.98</v>
      </c>
      <c r="C36">
        <v>177</v>
      </c>
      <c r="D36">
        <v>17.878787878787801</v>
      </c>
      <c r="E36">
        <v>0</v>
      </c>
      <c r="F36">
        <v>17.878787878787801</v>
      </c>
      <c r="G36">
        <v>0</v>
      </c>
      <c r="H36">
        <v>0</v>
      </c>
      <c r="I36">
        <v>0</v>
      </c>
      <c r="J36">
        <v>0</v>
      </c>
      <c r="K36">
        <v>0</v>
      </c>
      <c r="L36">
        <f t="shared" si="0"/>
        <v>0</v>
      </c>
      <c r="M36">
        <f t="shared" si="1"/>
        <v>0</v>
      </c>
    </row>
    <row r="37" spans="1:13" x14ac:dyDescent="0.35">
      <c r="A37" t="s">
        <v>61</v>
      </c>
      <c r="B37">
        <v>1.96</v>
      </c>
      <c r="C37">
        <v>1427</v>
      </c>
      <c r="D37">
        <v>145.61224489795899</v>
      </c>
      <c r="E37">
        <v>0</v>
      </c>
      <c r="F37">
        <v>100</v>
      </c>
      <c r="G37">
        <v>0</v>
      </c>
      <c r="H37">
        <v>0</v>
      </c>
      <c r="I37">
        <v>0</v>
      </c>
      <c r="J37">
        <v>0</v>
      </c>
      <c r="K37">
        <v>0</v>
      </c>
      <c r="L37">
        <f t="shared" si="0"/>
        <v>0</v>
      </c>
      <c r="M37">
        <f t="shared" si="1"/>
        <v>0</v>
      </c>
    </row>
    <row r="38" spans="1:13" x14ac:dyDescent="0.35">
      <c r="A38" t="s">
        <v>63</v>
      </c>
      <c r="B38">
        <v>1.96</v>
      </c>
      <c r="C38">
        <v>886</v>
      </c>
      <c r="D38">
        <v>90.408163265306101</v>
      </c>
      <c r="E38">
        <v>0</v>
      </c>
      <c r="F38">
        <v>90.408163265306101</v>
      </c>
      <c r="G38">
        <v>0</v>
      </c>
      <c r="H38">
        <v>0</v>
      </c>
      <c r="I38">
        <v>0</v>
      </c>
      <c r="J38">
        <v>0</v>
      </c>
      <c r="K38">
        <v>0</v>
      </c>
      <c r="L38">
        <f t="shared" si="0"/>
        <v>0</v>
      </c>
      <c r="M38">
        <f t="shared" si="1"/>
        <v>0</v>
      </c>
    </row>
    <row r="39" spans="1:13" x14ac:dyDescent="0.35">
      <c r="A39" t="s">
        <v>66</v>
      </c>
      <c r="B39">
        <v>1.93999999999999</v>
      </c>
      <c r="C39">
        <v>443</v>
      </c>
      <c r="D39">
        <v>45.670103092783499</v>
      </c>
      <c r="E39">
        <v>0</v>
      </c>
      <c r="F39">
        <v>45.670103092783499</v>
      </c>
      <c r="G39">
        <v>0</v>
      </c>
      <c r="H39">
        <v>0</v>
      </c>
      <c r="I39">
        <v>0</v>
      </c>
      <c r="J39">
        <v>0</v>
      </c>
      <c r="K39">
        <v>0</v>
      </c>
      <c r="L39">
        <f t="shared" si="0"/>
        <v>0</v>
      </c>
      <c r="M39">
        <f t="shared" si="1"/>
        <v>0</v>
      </c>
    </row>
    <row r="40" spans="1:13" x14ac:dyDescent="0.35">
      <c r="A40" t="s">
        <v>64</v>
      </c>
      <c r="B40">
        <v>1.93999999999999</v>
      </c>
      <c r="C40">
        <v>827</v>
      </c>
      <c r="D40">
        <v>85.257731958762903</v>
      </c>
      <c r="E40">
        <v>0</v>
      </c>
      <c r="F40">
        <v>85.257731958762903</v>
      </c>
      <c r="G40">
        <v>0</v>
      </c>
      <c r="H40">
        <v>0</v>
      </c>
      <c r="I40">
        <v>0</v>
      </c>
      <c r="J40">
        <v>0</v>
      </c>
      <c r="K40">
        <v>0</v>
      </c>
      <c r="L40">
        <f t="shared" si="0"/>
        <v>0</v>
      </c>
      <c r="M40">
        <f t="shared" si="1"/>
        <v>0</v>
      </c>
    </row>
    <row r="41" spans="1:13" x14ac:dyDescent="0.35">
      <c r="A41" t="s">
        <v>65</v>
      </c>
      <c r="B41">
        <v>1.88</v>
      </c>
      <c r="C41">
        <v>1080</v>
      </c>
      <c r="D41">
        <v>114.893617021276</v>
      </c>
      <c r="E41">
        <v>0</v>
      </c>
      <c r="F41">
        <v>100</v>
      </c>
      <c r="G41">
        <v>0</v>
      </c>
      <c r="H41">
        <v>0</v>
      </c>
      <c r="I41">
        <v>0</v>
      </c>
      <c r="J41">
        <v>0</v>
      </c>
      <c r="K41">
        <v>0</v>
      </c>
      <c r="L41">
        <f t="shared" si="0"/>
        <v>0</v>
      </c>
      <c r="M41">
        <f t="shared" si="1"/>
        <v>0</v>
      </c>
    </row>
    <row r="42" spans="1:13" x14ac:dyDescent="0.35">
      <c r="A42" t="s">
        <v>67</v>
      </c>
      <c r="B42">
        <v>1.88</v>
      </c>
      <c r="C42">
        <v>455</v>
      </c>
      <c r="D42">
        <v>48.404255319148902</v>
      </c>
      <c r="E42">
        <v>0</v>
      </c>
      <c r="F42">
        <v>48.404255319148902</v>
      </c>
      <c r="G42">
        <v>0</v>
      </c>
      <c r="H42">
        <v>0</v>
      </c>
      <c r="I42">
        <v>0</v>
      </c>
      <c r="J42">
        <v>0</v>
      </c>
      <c r="K42">
        <v>0</v>
      </c>
      <c r="L42">
        <f t="shared" si="0"/>
        <v>0</v>
      </c>
      <c r="M42">
        <f t="shared" si="1"/>
        <v>0</v>
      </c>
    </row>
    <row r="43" spans="1:13" x14ac:dyDescent="0.35">
      <c r="A43" t="s">
        <v>68</v>
      </c>
      <c r="B43">
        <v>1.88</v>
      </c>
      <c r="C43">
        <v>284</v>
      </c>
      <c r="D43">
        <v>30.212765957446798</v>
      </c>
      <c r="E43">
        <v>0</v>
      </c>
      <c r="F43">
        <v>30.212765957446798</v>
      </c>
      <c r="G43">
        <v>0</v>
      </c>
      <c r="H43">
        <v>0</v>
      </c>
      <c r="I43">
        <v>0</v>
      </c>
      <c r="J43">
        <v>0</v>
      </c>
      <c r="K43">
        <v>0</v>
      </c>
      <c r="L43">
        <f t="shared" si="0"/>
        <v>0</v>
      </c>
      <c r="M43">
        <f t="shared" si="1"/>
        <v>0</v>
      </c>
    </row>
    <row r="44" spans="1:13" x14ac:dyDescent="0.35">
      <c r="A44" t="s">
        <v>71</v>
      </c>
      <c r="B44">
        <v>1.86</v>
      </c>
      <c r="C44">
        <v>2100</v>
      </c>
      <c r="D44">
        <v>225.806451612903</v>
      </c>
      <c r="E44">
        <v>0</v>
      </c>
      <c r="F44">
        <v>100</v>
      </c>
      <c r="G44">
        <v>0</v>
      </c>
      <c r="H44">
        <v>0</v>
      </c>
      <c r="I44">
        <v>0</v>
      </c>
      <c r="J44">
        <v>0</v>
      </c>
      <c r="K44">
        <v>0</v>
      </c>
      <c r="L44">
        <f t="shared" si="0"/>
        <v>0</v>
      </c>
      <c r="M44">
        <f t="shared" si="1"/>
        <v>0</v>
      </c>
    </row>
    <row r="45" spans="1:13" x14ac:dyDescent="0.35">
      <c r="A45" t="s">
        <v>69</v>
      </c>
      <c r="B45">
        <v>1.8199999999999901</v>
      </c>
      <c r="C45">
        <v>637</v>
      </c>
      <c r="D45">
        <v>70</v>
      </c>
      <c r="E45">
        <v>0</v>
      </c>
      <c r="F45">
        <v>70</v>
      </c>
      <c r="G45">
        <v>0</v>
      </c>
      <c r="H45">
        <v>0</v>
      </c>
      <c r="I45">
        <v>0</v>
      </c>
      <c r="J45">
        <v>0</v>
      </c>
      <c r="K45">
        <v>0</v>
      </c>
      <c r="L45">
        <f t="shared" si="0"/>
        <v>0</v>
      </c>
      <c r="M45">
        <f t="shared" si="1"/>
        <v>0</v>
      </c>
    </row>
    <row r="46" spans="1:13" x14ac:dyDescent="0.35">
      <c r="A46" t="s">
        <v>75</v>
      </c>
      <c r="B46">
        <v>1.8199999999999901</v>
      </c>
      <c r="C46">
        <v>414</v>
      </c>
      <c r="D46">
        <v>45.494505494505503</v>
      </c>
      <c r="E46">
        <v>0</v>
      </c>
      <c r="F46">
        <v>45.494505494505503</v>
      </c>
      <c r="G46">
        <v>0</v>
      </c>
      <c r="H46">
        <v>0</v>
      </c>
      <c r="I46">
        <v>0</v>
      </c>
      <c r="J46">
        <v>0</v>
      </c>
      <c r="K46">
        <v>0</v>
      </c>
      <c r="L46">
        <f t="shared" si="0"/>
        <v>0</v>
      </c>
      <c r="M46">
        <f t="shared" si="1"/>
        <v>0</v>
      </c>
    </row>
    <row r="47" spans="1:13" x14ac:dyDescent="0.35">
      <c r="A47" t="s">
        <v>70</v>
      </c>
      <c r="B47">
        <v>1.8199999999999901</v>
      </c>
      <c r="C47">
        <v>517</v>
      </c>
      <c r="D47">
        <v>56.813186813186803</v>
      </c>
      <c r="E47">
        <v>0</v>
      </c>
      <c r="F47">
        <v>56.813186813186803</v>
      </c>
      <c r="G47">
        <v>0</v>
      </c>
      <c r="H47">
        <v>0</v>
      </c>
      <c r="I47">
        <v>0</v>
      </c>
      <c r="J47">
        <v>0</v>
      </c>
      <c r="K47">
        <v>0</v>
      </c>
      <c r="L47">
        <f t="shared" si="0"/>
        <v>0</v>
      </c>
      <c r="M47">
        <f t="shared" si="1"/>
        <v>0</v>
      </c>
    </row>
    <row r="48" spans="1:13" x14ac:dyDescent="0.35">
      <c r="A48" t="s">
        <v>73</v>
      </c>
      <c r="B48">
        <v>1.8199999999999901</v>
      </c>
      <c r="C48">
        <v>372</v>
      </c>
      <c r="D48">
        <v>40.879120879120798</v>
      </c>
      <c r="E48">
        <v>0</v>
      </c>
      <c r="F48">
        <v>40.879120879120798</v>
      </c>
      <c r="G48">
        <v>0</v>
      </c>
      <c r="H48">
        <v>0</v>
      </c>
      <c r="I48">
        <v>0</v>
      </c>
      <c r="J48">
        <v>0</v>
      </c>
      <c r="K48">
        <v>0</v>
      </c>
      <c r="L48">
        <f t="shared" si="0"/>
        <v>0</v>
      </c>
      <c r="M48">
        <f t="shared" si="1"/>
        <v>0</v>
      </c>
    </row>
    <row r="49" spans="1:13" x14ac:dyDescent="0.35">
      <c r="A49" t="s">
        <v>72</v>
      </c>
      <c r="B49">
        <v>1.8199999999999901</v>
      </c>
      <c r="C49">
        <v>463</v>
      </c>
      <c r="D49">
        <v>50.879120879120798</v>
      </c>
      <c r="E49">
        <v>0</v>
      </c>
      <c r="F49">
        <v>50.879120879120798</v>
      </c>
      <c r="G49">
        <v>0</v>
      </c>
      <c r="H49">
        <v>0</v>
      </c>
      <c r="I49">
        <v>0</v>
      </c>
      <c r="J49">
        <v>0</v>
      </c>
      <c r="K49">
        <v>0</v>
      </c>
      <c r="L49">
        <f t="shared" si="0"/>
        <v>0</v>
      </c>
      <c r="M49">
        <f t="shared" si="1"/>
        <v>0</v>
      </c>
    </row>
    <row r="50" spans="1:13" x14ac:dyDescent="0.35">
      <c r="A50" t="s">
        <v>74</v>
      </c>
      <c r="B50">
        <v>1.7999999999999901</v>
      </c>
      <c r="C50">
        <v>5915</v>
      </c>
      <c r="D50">
        <v>657.22222222222194</v>
      </c>
      <c r="E50">
        <v>0</v>
      </c>
      <c r="F50">
        <v>100</v>
      </c>
      <c r="G50">
        <v>0</v>
      </c>
      <c r="H50">
        <v>0</v>
      </c>
      <c r="I50">
        <v>0</v>
      </c>
      <c r="J50">
        <v>0</v>
      </c>
      <c r="K50">
        <v>0</v>
      </c>
      <c r="L50">
        <f t="shared" si="0"/>
        <v>0</v>
      </c>
      <c r="M50">
        <f t="shared" si="1"/>
        <v>0</v>
      </c>
    </row>
    <row r="51" spans="1:13" x14ac:dyDescent="0.35">
      <c r="A51" t="s">
        <v>81</v>
      </c>
      <c r="B51">
        <v>1.7999999999999901</v>
      </c>
      <c r="C51">
        <v>1217</v>
      </c>
      <c r="D51">
        <v>135.222222222222</v>
      </c>
      <c r="E51">
        <v>0</v>
      </c>
      <c r="F51">
        <v>100</v>
      </c>
      <c r="G51">
        <v>0</v>
      </c>
      <c r="H51">
        <v>0</v>
      </c>
      <c r="I51">
        <v>0</v>
      </c>
      <c r="J51">
        <v>0</v>
      </c>
      <c r="K51">
        <v>0</v>
      </c>
      <c r="L51">
        <f t="shared" si="0"/>
        <v>0</v>
      </c>
      <c r="M51">
        <f t="shared" si="1"/>
        <v>0</v>
      </c>
    </row>
    <row r="52" spans="1:13" x14ac:dyDescent="0.35">
      <c r="A52" t="s">
        <v>79</v>
      </c>
      <c r="B52">
        <v>1.76</v>
      </c>
      <c r="C52">
        <v>404</v>
      </c>
      <c r="D52">
        <v>45.909090909090899</v>
      </c>
      <c r="E52">
        <v>0</v>
      </c>
      <c r="F52">
        <v>45.909090909090899</v>
      </c>
      <c r="G52">
        <v>0</v>
      </c>
      <c r="H52">
        <v>0</v>
      </c>
      <c r="I52">
        <v>0</v>
      </c>
      <c r="J52">
        <v>0</v>
      </c>
      <c r="K52">
        <v>0</v>
      </c>
      <c r="L52">
        <f t="shared" si="0"/>
        <v>0</v>
      </c>
      <c r="M52">
        <f t="shared" si="1"/>
        <v>0</v>
      </c>
    </row>
    <row r="53" spans="1:13" x14ac:dyDescent="0.35">
      <c r="A53" t="s">
        <v>82</v>
      </c>
      <c r="B53">
        <v>1.76</v>
      </c>
      <c r="C53">
        <v>482</v>
      </c>
      <c r="D53">
        <v>54.772727272727202</v>
      </c>
      <c r="E53">
        <v>0</v>
      </c>
      <c r="F53">
        <v>54.772727272727202</v>
      </c>
      <c r="G53">
        <v>0</v>
      </c>
      <c r="H53">
        <v>0</v>
      </c>
      <c r="I53">
        <v>0</v>
      </c>
      <c r="J53">
        <v>0</v>
      </c>
      <c r="K53">
        <v>0</v>
      </c>
      <c r="L53">
        <f t="shared" si="0"/>
        <v>0</v>
      </c>
      <c r="M53">
        <f t="shared" si="1"/>
        <v>0</v>
      </c>
    </row>
    <row r="54" spans="1:13" x14ac:dyDescent="0.35">
      <c r="A54" t="s">
        <v>76</v>
      </c>
      <c r="B54">
        <v>1.73999999999999</v>
      </c>
      <c r="C54">
        <v>746</v>
      </c>
      <c r="D54">
        <v>85.747126436781599</v>
      </c>
      <c r="E54">
        <v>0</v>
      </c>
      <c r="F54">
        <v>85.747126436781599</v>
      </c>
      <c r="G54">
        <v>0</v>
      </c>
      <c r="H54">
        <v>0</v>
      </c>
      <c r="I54">
        <v>0</v>
      </c>
      <c r="J54">
        <v>0</v>
      </c>
      <c r="K54">
        <v>0</v>
      </c>
      <c r="L54">
        <f t="shared" si="0"/>
        <v>0</v>
      </c>
      <c r="M54">
        <f t="shared" si="1"/>
        <v>0</v>
      </c>
    </row>
    <row r="55" spans="1:13" x14ac:dyDescent="0.35">
      <c r="A55" t="s">
        <v>78</v>
      </c>
      <c r="B55">
        <v>1.73999999999999</v>
      </c>
      <c r="C55">
        <v>627</v>
      </c>
      <c r="D55">
        <v>72.068965517241395</v>
      </c>
      <c r="E55">
        <v>0</v>
      </c>
      <c r="F55">
        <v>72.068965517241395</v>
      </c>
      <c r="G55">
        <v>0</v>
      </c>
      <c r="H55">
        <v>0</v>
      </c>
      <c r="I55">
        <v>0</v>
      </c>
      <c r="J55">
        <v>0</v>
      </c>
      <c r="K55">
        <v>0</v>
      </c>
      <c r="L55">
        <f t="shared" si="0"/>
        <v>0</v>
      </c>
      <c r="M55">
        <f t="shared" si="1"/>
        <v>0</v>
      </c>
    </row>
    <row r="56" spans="1:13" x14ac:dyDescent="0.35">
      <c r="A56" t="s">
        <v>77</v>
      </c>
      <c r="B56">
        <v>1.73999999999999</v>
      </c>
      <c r="C56">
        <v>3659</v>
      </c>
      <c r="D56">
        <v>420.57471264367803</v>
      </c>
      <c r="E56">
        <v>0</v>
      </c>
      <c r="F56">
        <v>100</v>
      </c>
      <c r="G56">
        <v>0</v>
      </c>
      <c r="H56">
        <v>0</v>
      </c>
      <c r="I56">
        <v>0</v>
      </c>
      <c r="J56">
        <v>0</v>
      </c>
      <c r="K56">
        <v>0</v>
      </c>
      <c r="L56">
        <f t="shared" si="0"/>
        <v>0</v>
      </c>
      <c r="M56">
        <f t="shared" si="1"/>
        <v>0</v>
      </c>
    </row>
    <row r="57" spans="1:13" x14ac:dyDescent="0.35">
      <c r="A57" t="s">
        <v>83</v>
      </c>
      <c r="B57">
        <v>1.73999999999999</v>
      </c>
      <c r="C57">
        <v>464</v>
      </c>
      <c r="D57">
        <v>53.3333333333333</v>
      </c>
      <c r="E57">
        <v>0</v>
      </c>
      <c r="F57">
        <v>53.3333333333333</v>
      </c>
      <c r="G57">
        <v>0</v>
      </c>
      <c r="H57">
        <v>0</v>
      </c>
      <c r="I57">
        <v>0</v>
      </c>
      <c r="J57">
        <v>0</v>
      </c>
      <c r="K57">
        <v>0</v>
      </c>
      <c r="L57">
        <f t="shared" si="0"/>
        <v>0</v>
      </c>
      <c r="M57">
        <f t="shared" si="1"/>
        <v>0</v>
      </c>
    </row>
    <row r="58" spans="1:13" x14ac:dyDescent="0.35">
      <c r="A58" t="s">
        <v>84</v>
      </c>
      <c r="B58">
        <v>1.71999999999999</v>
      </c>
      <c r="C58">
        <v>411</v>
      </c>
      <c r="D58">
        <v>47.790697674418603</v>
      </c>
      <c r="E58">
        <v>0</v>
      </c>
      <c r="F58">
        <v>47.790697674418603</v>
      </c>
      <c r="G58">
        <v>0</v>
      </c>
      <c r="H58">
        <v>0</v>
      </c>
      <c r="I58">
        <v>0</v>
      </c>
      <c r="J58">
        <v>0</v>
      </c>
      <c r="K58">
        <v>0</v>
      </c>
      <c r="L58">
        <f t="shared" si="0"/>
        <v>0</v>
      </c>
      <c r="M58">
        <f t="shared" si="1"/>
        <v>0</v>
      </c>
    </row>
    <row r="59" spans="1:13" x14ac:dyDescent="0.35">
      <c r="A59" t="s">
        <v>80</v>
      </c>
      <c r="B59">
        <v>1.71999999999999</v>
      </c>
      <c r="C59">
        <v>1028</v>
      </c>
      <c r="D59">
        <v>119.53488372093</v>
      </c>
      <c r="E59">
        <v>0</v>
      </c>
      <c r="F59">
        <v>100</v>
      </c>
      <c r="G59">
        <v>0</v>
      </c>
      <c r="H59">
        <v>0</v>
      </c>
      <c r="I59">
        <v>0</v>
      </c>
      <c r="J59">
        <v>0</v>
      </c>
      <c r="K59">
        <v>0</v>
      </c>
      <c r="L59">
        <f t="shared" si="0"/>
        <v>0</v>
      </c>
      <c r="M59">
        <f t="shared" si="1"/>
        <v>0</v>
      </c>
    </row>
    <row r="60" spans="1:13" x14ac:dyDescent="0.35">
      <c r="A60" t="s">
        <v>85</v>
      </c>
      <c r="B60">
        <v>1.68</v>
      </c>
      <c r="C60">
        <v>396</v>
      </c>
      <c r="D60">
        <v>47.142857142857103</v>
      </c>
      <c r="E60">
        <v>0</v>
      </c>
      <c r="F60">
        <v>47.142857142857103</v>
      </c>
      <c r="G60">
        <v>0</v>
      </c>
      <c r="H60">
        <v>0</v>
      </c>
      <c r="I60">
        <v>0</v>
      </c>
      <c r="J60">
        <v>0</v>
      </c>
      <c r="K60">
        <v>0</v>
      </c>
      <c r="L60">
        <f t="shared" si="0"/>
        <v>0</v>
      </c>
      <c r="M60">
        <f t="shared" si="1"/>
        <v>0</v>
      </c>
    </row>
    <row r="61" spans="1:13" x14ac:dyDescent="0.35">
      <c r="A61" t="s">
        <v>87</v>
      </c>
      <c r="B61">
        <v>1.68</v>
      </c>
      <c r="C61">
        <v>334</v>
      </c>
      <c r="D61">
        <v>39.761904761904702</v>
      </c>
      <c r="E61">
        <v>0</v>
      </c>
      <c r="F61">
        <v>39.761904761904702</v>
      </c>
      <c r="G61">
        <v>0</v>
      </c>
      <c r="H61">
        <v>0</v>
      </c>
      <c r="I61">
        <v>0</v>
      </c>
      <c r="J61">
        <v>0</v>
      </c>
      <c r="K61">
        <v>0</v>
      </c>
      <c r="L61">
        <f t="shared" si="0"/>
        <v>0</v>
      </c>
      <c r="M61">
        <f t="shared" si="1"/>
        <v>0</v>
      </c>
    </row>
    <row r="62" spans="1:13" x14ac:dyDescent="0.35">
      <c r="A62" t="s">
        <v>88</v>
      </c>
      <c r="B62">
        <v>1.6</v>
      </c>
      <c r="C62">
        <v>7292</v>
      </c>
      <c r="D62">
        <v>911.5</v>
      </c>
      <c r="E62">
        <v>0</v>
      </c>
      <c r="F62">
        <v>100</v>
      </c>
      <c r="G62">
        <v>0</v>
      </c>
      <c r="H62">
        <v>0</v>
      </c>
      <c r="I62">
        <v>0</v>
      </c>
      <c r="J62">
        <v>0</v>
      </c>
      <c r="K62">
        <v>0</v>
      </c>
      <c r="L62">
        <f t="shared" si="0"/>
        <v>0</v>
      </c>
      <c r="M62">
        <f t="shared" si="1"/>
        <v>0</v>
      </c>
    </row>
    <row r="63" spans="1:13" x14ac:dyDescent="0.35">
      <c r="A63" t="s">
        <v>86</v>
      </c>
      <c r="B63">
        <v>1.6</v>
      </c>
      <c r="C63">
        <v>1488</v>
      </c>
      <c r="D63">
        <v>186</v>
      </c>
      <c r="E63">
        <v>0</v>
      </c>
      <c r="F63">
        <v>100</v>
      </c>
      <c r="G63">
        <v>0</v>
      </c>
      <c r="H63">
        <v>0</v>
      </c>
      <c r="I63">
        <v>0</v>
      </c>
      <c r="J63">
        <v>0</v>
      </c>
      <c r="K63">
        <v>0</v>
      </c>
      <c r="L63">
        <f t="shared" si="0"/>
        <v>0</v>
      </c>
      <c r="M63">
        <f t="shared" si="1"/>
        <v>0</v>
      </c>
    </row>
    <row r="65" spans="9:9" x14ac:dyDescent="0.35">
      <c r="I65">
        <v>2788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excel_solver_model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Rodriguez</dc:creator>
  <cp:lastModifiedBy>Juan Rodriguez</cp:lastModifiedBy>
  <dcterms:created xsi:type="dcterms:W3CDTF">2026-04-27T19:02:22Z</dcterms:created>
  <dcterms:modified xsi:type="dcterms:W3CDTF">2026-04-27T19:16:24Z</dcterms:modified>
</cp:coreProperties>
</file>